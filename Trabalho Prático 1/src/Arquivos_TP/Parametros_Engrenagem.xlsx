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afe8e545503b79/Documentos/Engrenagem_Planetaria/"/>
    </mc:Choice>
  </mc:AlternateContent>
  <xr:revisionPtr revIDLastSave="15" documentId="13_ncr:1_{F9A450C3-2684-4A03-826B-D0E8DED34C2A}" xr6:coauthVersionLast="47" xr6:coauthVersionMax="47" xr10:uidLastSave="{D0F1C697-6CEE-4067-98FE-6618ED4D2CCF}"/>
  <bookViews>
    <workbookView xWindow="-120" yWindow="-120" windowWidth="29040" windowHeight="15720" xr2:uid="{ABB9FDB3-735E-410B-80CE-FFB9A8A33B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16" i="1" s="1"/>
  <c r="B10" i="1" l="1"/>
  <c r="B15" i="1" s="1"/>
  <c r="B13" i="1" l="1"/>
</calcChain>
</file>

<file path=xl/sharedStrings.xml><?xml version="1.0" encoding="utf-8"?>
<sst xmlns="http://schemas.openxmlformats.org/spreadsheetml/2006/main" count="50" uniqueCount="39">
  <si>
    <t>Nome_Variavel</t>
  </si>
  <si>
    <t>Valor</t>
  </si>
  <si>
    <t>Unidade</t>
  </si>
  <si>
    <t>Comentário</t>
  </si>
  <si>
    <t>mm</t>
  </si>
  <si>
    <t>Zs</t>
  </si>
  <si>
    <t>Zp</t>
  </si>
  <si>
    <t>Zr</t>
  </si>
  <si>
    <t>n</t>
  </si>
  <si>
    <t>delta</t>
  </si>
  <si>
    <t>D_Furo_Sol</t>
  </si>
  <si>
    <t>D_Furo_Planeta</t>
  </si>
  <si>
    <t>0.3</t>
  </si>
  <si>
    <t>Módulo</t>
  </si>
  <si>
    <t>Número de dentes do Sol</t>
  </si>
  <si>
    <t>Número de dentes do Planeta</t>
  </si>
  <si>
    <t>Quantidade de planetas</t>
  </si>
  <si>
    <t>Folga de engrenagem</t>
  </si>
  <si>
    <t>Diâmetro do furo central</t>
  </si>
  <si>
    <t>Diâmetro do eixo do porta satélites</t>
  </si>
  <si>
    <t>i</t>
  </si>
  <si>
    <t>Rendimento_eta</t>
  </si>
  <si>
    <t>Torque_in</t>
  </si>
  <si>
    <t>Torque_out</t>
  </si>
  <si>
    <t>Teste_Montagem</t>
  </si>
  <si>
    <t>N m</t>
  </si>
  <si>
    <t>rpm</t>
  </si>
  <si>
    <t>Rendimento para plástico FDM</t>
  </si>
  <si>
    <t>Torque de entrada de referência (Sol)</t>
  </si>
  <si>
    <t>Velocidade de entrada de referência</t>
  </si>
  <si>
    <t>Se 0, a montagem é possível -&gt; MOD(Zs + Zr)/n</t>
  </si>
  <si>
    <t>Dentes do anel -&gt; Zs +(2 * Zp)</t>
  </si>
  <si>
    <t>Relação de transmissão da caixa -&gt; 1 + (Zr/Zs)</t>
  </si>
  <si>
    <t>Torque de saída (Porta satélites) -&gt; eta * i * Tin</t>
  </si>
  <si>
    <t>Velocidade de saída -&gt; Win/i</t>
  </si>
  <si>
    <t>modulo</t>
  </si>
  <si>
    <t xml:space="preserve">Veloc_in </t>
  </si>
  <si>
    <t xml:space="preserve">Veloc_out </t>
  </si>
  <si>
    <t>s_m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</si>
</sst>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6AE5-CBDB-4FB9-9C57-668F4BA56A51}">
  <dimension ref="A1:Z34"/>
  <sheetViews>
    <sheetView tabSelected="1" workbookViewId="0">
      <selection activeCell="J24" sqref="J24"/>
    </sheetView>
  </sheetViews>
  <sheetFormatPr defaultRowHeight="15" x14ac:dyDescent="0.25"/>
  <cols>
    <col min="1" max="1" width="17" customWidth="1"/>
    <col min="2" max="2" width="15.140625" customWidth="1"/>
    <col min="4" max="4" width="22.5703125" customWidth="1"/>
  </cols>
  <sheetData>
    <row r="1" spans="1:26" ht="15.75" thickBot="1" x14ac:dyDescent="0.3">
      <c r="A1" s="13" t="s">
        <v>0</v>
      </c>
      <c r="B1" s="14" t="s">
        <v>1</v>
      </c>
      <c r="C1" s="14" t="s">
        <v>2</v>
      </c>
      <c r="D1" s="15" t="s">
        <v>3</v>
      </c>
    </row>
    <row r="2" spans="1:26" x14ac:dyDescent="0.25">
      <c r="A2" s="10" t="s">
        <v>35</v>
      </c>
      <c r="B2" s="11">
        <v>1.5</v>
      </c>
      <c r="C2" s="11" t="s">
        <v>4</v>
      </c>
      <c r="D2" s="12" t="s">
        <v>13</v>
      </c>
    </row>
    <row r="3" spans="1:26" ht="30" x14ac:dyDescent="0.25">
      <c r="A3" s="5" t="s">
        <v>5</v>
      </c>
      <c r="B3" s="3">
        <v>30</v>
      </c>
      <c r="C3" s="3" t="s">
        <v>38</v>
      </c>
      <c r="D3" s="4" t="s">
        <v>14</v>
      </c>
    </row>
    <row r="4" spans="1:26" ht="30" x14ac:dyDescent="0.25">
      <c r="A4" s="5" t="s">
        <v>6</v>
      </c>
      <c r="B4" s="3">
        <v>15</v>
      </c>
      <c r="C4" s="3" t="s">
        <v>38</v>
      </c>
      <c r="D4" s="4" t="s">
        <v>15</v>
      </c>
    </row>
    <row r="5" spans="1:26" ht="30" x14ac:dyDescent="0.25">
      <c r="A5" s="5" t="s">
        <v>7</v>
      </c>
      <c r="B5" s="3">
        <f>B3+(2*B4)</f>
        <v>60</v>
      </c>
      <c r="C5" s="3" t="s">
        <v>38</v>
      </c>
      <c r="D5" s="4" t="s">
        <v>31</v>
      </c>
    </row>
    <row r="6" spans="1:26" x14ac:dyDescent="0.25">
      <c r="A6" s="5" t="s">
        <v>8</v>
      </c>
      <c r="B6" s="3">
        <v>3</v>
      </c>
      <c r="C6" s="3" t="s">
        <v>38</v>
      </c>
      <c r="D6" s="6" t="s">
        <v>16</v>
      </c>
    </row>
    <row r="7" spans="1:26" x14ac:dyDescent="0.25">
      <c r="A7" s="5" t="s">
        <v>9</v>
      </c>
      <c r="B7" s="3" t="s">
        <v>12</v>
      </c>
      <c r="C7" s="3" t="s">
        <v>4</v>
      </c>
      <c r="D7" s="4" t="s">
        <v>17</v>
      </c>
      <c r="Z7" s="2"/>
    </row>
    <row r="8" spans="1:26" ht="30" x14ac:dyDescent="0.25">
      <c r="A8" s="5" t="s">
        <v>10</v>
      </c>
      <c r="B8" s="3">
        <v>8</v>
      </c>
      <c r="C8" s="3" t="s">
        <v>4</v>
      </c>
      <c r="D8" s="4" t="s">
        <v>18</v>
      </c>
    </row>
    <row r="9" spans="1:26" ht="30" x14ac:dyDescent="0.25">
      <c r="A9" s="5" t="s">
        <v>11</v>
      </c>
      <c r="B9" s="3">
        <v>5</v>
      </c>
      <c r="C9" s="3" t="s">
        <v>4</v>
      </c>
      <c r="D9" s="4" t="s">
        <v>19</v>
      </c>
      <c r="I9" s="2"/>
    </row>
    <row r="10" spans="1:26" ht="30" x14ac:dyDescent="0.25">
      <c r="A10" s="5" t="s">
        <v>20</v>
      </c>
      <c r="B10" s="3">
        <f>1+(B5/B3)</f>
        <v>3</v>
      </c>
      <c r="C10" s="3" t="s">
        <v>38</v>
      </c>
      <c r="D10" s="4" t="s">
        <v>32</v>
      </c>
    </row>
    <row r="11" spans="1:26" ht="30" x14ac:dyDescent="0.25">
      <c r="A11" s="5" t="s">
        <v>21</v>
      </c>
      <c r="B11" s="3">
        <v>0.85</v>
      </c>
      <c r="C11" s="3" t="s">
        <v>38</v>
      </c>
      <c r="D11" s="4" t="s">
        <v>27</v>
      </c>
    </row>
    <row r="12" spans="1:26" ht="30" x14ac:dyDescent="0.25">
      <c r="A12" s="5" t="s">
        <v>22</v>
      </c>
      <c r="B12" s="3">
        <v>10</v>
      </c>
      <c r="C12" s="3" t="s">
        <v>25</v>
      </c>
      <c r="D12" s="4" t="s">
        <v>28</v>
      </c>
    </row>
    <row r="13" spans="1:26" ht="30" x14ac:dyDescent="0.25">
      <c r="A13" s="5" t="s">
        <v>23</v>
      </c>
      <c r="B13" s="3">
        <f>B11*B10*B12</f>
        <v>25.5</v>
      </c>
      <c r="C13" s="3" t="s">
        <v>25</v>
      </c>
      <c r="D13" s="4" t="s">
        <v>33</v>
      </c>
    </row>
    <row r="14" spans="1:26" ht="30" x14ac:dyDescent="0.25">
      <c r="A14" s="5" t="s">
        <v>36</v>
      </c>
      <c r="B14" s="3">
        <v>150</v>
      </c>
      <c r="C14" s="3" t="s">
        <v>26</v>
      </c>
      <c r="D14" s="4" t="s">
        <v>29</v>
      </c>
    </row>
    <row r="15" spans="1:26" ht="30" x14ac:dyDescent="0.25">
      <c r="A15" s="5" t="s">
        <v>37</v>
      </c>
      <c r="B15" s="3">
        <f>B14/B10</f>
        <v>50</v>
      </c>
      <c r="C15" s="3" t="s">
        <v>26</v>
      </c>
      <c r="D15" s="4" t="s">
        <v>34</v>
      </c>
    </row>
    <row r="16" spans="1:26" ht="45.75" thickBot="1" x14ac:dyDescent="0.3">
      <c r="A16" s="7" t="s">
        <v>24</v>
      </c>
      <c r="B16" s="8">
        <f>MOD(B3+B5, B6)</f>
        <v>0</v>
      </c>
      <c r="C16" s="8" t="s">
        <v>38</v>
      </c>
      <c r="D16" s="9" t="s">
        <v>30</v>
      </c>
    </row>
    <row r="17" spans="1:4" x14ac:dyDescent="0.25">
      <c r="D17" s="1"/>
    </row>
    <row r="18" spans="1:4" x14ac:dyDescent="0.25">
      <c r="D18" s="1"/>
    </row>
    <row r="19" spans="1:4" x14ac:dyDescent="0.25">
      <c r="D19" s="1"/>
    </row>
    <row r="20" spans="1:4" x14ac:dyDescent="0.25"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Marcus Oliveira</cp:lastModifiedBy>
  <dcterms:created xsi:type="dcterms:W3CDTF">2026-08-27T12:15:50Z</dcterms:created>
  <dcterms:modified xsi:type="dcterms:W3CDTF">2026-09-08T16:05:21Z</dcterms:modified>
</cp:coreProperties>
</file>